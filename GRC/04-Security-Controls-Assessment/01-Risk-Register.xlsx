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Scoring Guide" sheetId="2" state="visible" r:id="rId2"/>
  </sheets>
  <definedNames>
    <definedName name="_xlnm._FilterDatabase" localSheetId="0" hidden="1">'Risk Register'!$A$1:$S$8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2" customWidth="1" min="3" max="3"/>
    <col width="26" customWidth="1" min="4" max="4"/>
    <col width="42" customWidth="1" min="5" max="5"/>
    <col width="15" customWidth="1" min="6" max="6"/>
    <col width="13" customWidth="1" min="7" max="7"/>
    <col width="18" customWidth="1" min="8" max="8"/>
    <col width="18" customWidth="1" min="9" max="9"/>
    <col width="42" customWidth="1" min="10" max="10"/>
    <col width="16" customWidth="1" min="11" max="11"/>
    <col width="55" customWidth="1" min="12" max="12"/>
    <col width="20" customWidth="1" min="13" max="13"/>
    <col width="18" customWidth="1" min="14" max="14"/>
    <col width="20" customWidth="1" min="15" max="15"/>
    <col width="18" customWidth="1" min="16" max="16"/>
    <col width="20" customWidth="1" min="17" max="17"/>
    <col width="20" customWidth="1" min="18" max="18"/>
    <col width="14" customWidth="1" min="19" max="19"/>
  </cols>
  <sheetData>
    <row r="1" ht="45" customHeight="1">
      <c r="A1" s="1" t="inlineStr">
        <is>
          <t>Risk ID</t>
        </is>
      </c>
      <c r="B1" s="1" t="inlineStr">
        <is>
          <t>Asset / Process</t>
        </is>
      </c>
      <c r="C1" s="1" t="inlineStr">
        <is>
          <t>Risk Scenario</t>
        </is>
      </c>
      <c r="D1" s="1" t="inlineStr">
        <is>
          <t>Threat</t>
        </is>
      </c>
      <c r="E1" s="1" t="inlineStr">
        <is>
          <t>Vulnerability / Control Gap</t>
        </is>
      </c>
      <c r="F1" s="1" t="inlineStr">
        <is>
          <t>Likelihood (1-5)</t>
        </is>
      </c>
      <c r="G1" s="1" t="inlineStr">
        <is>
          <t>Impact (1-5)</t>
        </is>
      </c>
      <c r="H1" s="1" t="inlineStr">
        <is>
          <t>Inherent Risk Score</t>
        </is>
      </c>
      <c r="I1" s="1" t="inlineStr">
        <is>
          <t>Inherent Risk Level</t>
        </is>
      </c>
      <c r="J1" s="1" t="inlineStr">
        <is>
          <t>Existing Controls / Assumptions</t>
        </is>
      </c>
      <c r="K1" s="1" t="inlineStr">
        <is>
          <t>Risk Treatment</t>
        </is>
      </c>
      <c r="L1" s="1" t="inlineStr">
        <is>
          <t>Recommended Actions</t>
        </is>
      </c>
      <c r="M1" s="1" t="inlineStr">
        <is>
          <t>Risk Owner</t>
        </is>
      </c>
      <c r="N1" s="1" t="inlineStr">
        <is>
          <t>Target Date</t>
        </is>
      </c>
      <c r="O1" s="1" t="inlineStr">
        <is>
          <t>Residual Likelihood (1-5)</t>
        </is>
      </c>
      <c r="P1" s="1" t="inlineStr">
        <is>
          <t>Residual Impact (1-5)</t>
        </is>
      </c>
      <c r="Q1" s="1" t="inlineStr">
        <is>
          <t>Residual Risk Score</t>
        </is>
      </c>
      <c r="R1" s="1" t="inlineStr">
        <is>
          <t>Residual Risk Level</t>
        </is>
      </c>
      <c r="S1" s="1" t="inlineStr">
        <is>
          <t>Status</t>
        </is>
      </c>
    </row>
    <row r="2">
      <c r="A2" s="2" t="inlineStr">
        <is>
          <t>R-01</t>
        </is>
      </c>
      <c r="B2" s="2" t="inlineStr">
        <is>
          <t>Employee accounts / Microsoft 365</t>
        </is>
      </c>
      <c r="C2" s="2" t="inlineStr">
        <is>
          <t>An attacker gains access to an employee account and accesses client documents.</t>
        </is>
      </c>
      <c r="D2" s="2" t="inlineStr">
        <is>
          <t>Credential theft / phishing</t>
        </is>
      </c>
      <c r="E2" s="2" t="inlineStr">
        <is>
          <t>Scenario assumption: MFA coverage has not been verified and may be inconsistent.</t>
        </is>
      </c>
      <c r="F2" s="3" t="n">
        <v>4</v>
      </c>
      <c r="G2" s="3" t="n">
        <v>5</v>
      </c>
      <c r="H2" s="3">
        <f>F2*G2</f>
        <v/>
      </c>
      <c r="I2" s="2">
        <f>IF(H2&gt;=15,"High",IF(H2&gt;=8,"Medium","Low"))</f>
        <v/>
      </c>
      <c r="J2" s="2" t="inlineStr">
        <is>
          <t>Simulated scenario; no real system evidence collected.</t>
        </is>
      </c>
      <c r="K2" s="2" t="inlineStr">
        <is>
          <t>Mitigate</t>
        </is>
      </c>
      <c r="L2" s="2" t="inlineStr">
        <is>
          <t>Verify MFA coverage; enforce MFA for all users; review privileged accounts; monitor sign-in alerts.</t>
        </is>
      </c>
      <c r="M2" s="2" t="inlineStr">
        <is>
          <t>IT Manager</t>
        </is>
      </c>
      <c r="N2" s="2" t="inlineStr">
        <is>
          <t>Within 30 days</t>
        </is>
      </c>
      <c r="O2" s="3" t="n">
        <v>2</v>
      </c>
      <c r="P2" s="3" t="n">
        <v>4</v>
      </c>
      <c r="Q2" s="3">
        <f>O2*P2</f>
        <v/>
      </c>
      <c r="R2" s="2">
        <f>IF(Q2&gt;=15,"High",IF(Q2&gt;=8,"Medium","Low"))</f>
        <v/>
      </c>
      <c r="S2" s="2" t="inlineStr">
        <is>
          <t>Proposed</t>
        </is>
      </c>
    </row>
    <row r="3">
      <c r="A3" s="2" t="inlineStr">
        <is>
          <t>R-02</t>
        </is>
      </c>
      <c r="B3" s="2" t="inlineStr">
        <is>
          <t>Client document storage</t>
        </is>
      </c>
      <c r="C3" s="2" t="inlineStr">
        <is>
          <t>Unauthorised disclosure of client files due to excessive access permissions.</t>
        </is>
      </c>
      <c r="D3" s="2" t="inlineStr">
        <is>
          <t>Insider misuse / compromised account</t>
        </is>
      </c>
      <c r="E3" s="2" t="inlineStr">
        <is>
          <t>Scenario assumption: access permissions have not been reviewed recently.</t>
        </is>
      </c>
      <c r="F3" s="3" t="n">
        <v>3</v>
      </c>
      <c r="G3" s="3" t="n">
        <v>5</v>
      </c>
      <c r="H3" s="3">
        <f>F3*G3</f>
        <v/>
      </c>
      <c r="I3" s="2">
        <f>IF(H3&gt;=15,"High",IF(H3&gt;=8,"Medium","Low"))</f>
        <v/>
      </c>
      <c r="J3" s="2" t="inlineStr">
        <is>
          <t>Simulated scenario; permissions have not been independently checked.</t>
        </is>
      </c>
      <c r="K3" s="2" t="inlineStr">
        <is>
          <t>Mitigate</t>
        </is>
      </c>
      <c r="L3" s="2" t="inlineStr">
        <is>
          <t>Review access groups; apply least privilege; remove unnecessary access; schedule quarterly reviews.</t>
        </is>
      </c>
      <c r="M3" s="2" t="inlineStr">
        <is>
          <t>Data Owner</t>
        </is>
      </c>
      <c r="N3" s="2" t="inlineStr">
        <is>
          <t>Within 45 days</t>
        </is>
      </c>
      <c r="O3" s="3" t="n">
        <v>2</v>
      </c>
      <c r="P3" s="3" t="n">
        <v>4</v>
      </c>
      <c r="Q3" s="3">
        <f>O3*P3</f>
        <v/>
      </c>
      <c r="R3" s="2">
        <f>IF(Q3&gt;=15,"High",IF(Q3&gt;=8,"Medium","Low"))</f>
        <v/>
      </c>
      <c r="S3" s="2" t="inlineStr">
        <is>
          <t>Proposed</t>
        </is>
      </c>
    </row>
    <row r="4">
      <c r="A4" s="2" t="inlineStr">
        <is>
          <t>R-03</t>
        </is>
      </c>
      <c r="B4" s="2" t="inlineStr">
        <is>
          <t>Backup and recovery</t>
        </is>
      </c>
      <c r="C4" s="2" t="inlineStr">
        <is>
          <t>Critical business data cannot be restored after accidental deletion or ransomware.</t>
        </is>
      </c>
      <c r="D4" s="2" t="inlineStr">
        <is>
          <t>Ransomware / operational error</t>
        </is>
      </c>
      <c r="E4" s="2" t="inlineStr">
        <is>
          <t>Scenario assumption: restore testing frequency is unknown.</t>
        </is>
      </c>
      <c r="F4" s="3" t="n">
        <v>3</v>
      </c>
      <c r="G4" s="3" t="n">
        <v>5</v>
      </c>
      <c r="H4" s="3">
        <f>F4*G4</f>
        <v/>
      </c>
      <c r="I4" s="2">
        <f>IF(H4&gt;=15,"High",IF(H4&gt;=8,"Medium","Low"))</f>
        <v/>
      </c>
      <c r="J4" s="2" t="inlineStr">
        <is>
          <t>Backup arrangements are assumed to exist but have not been verified.</t>
        </is>
      </c>
      <c r="K4" s="2" t="inlineStr">
        <is>
          <t>Mitigate</t>
        </is>
      </c>
      <c r="L4" s="2" t="inlineStr">
        <is>
          <t>Confirm backup scope; protect backup credentials; test restoration; document recovery objectives.</t>
        </is>
      </c>
      <c r="M4" s="2" t="inlineStr">
        <is>
          <t>IT Operations</t>
        </is>
      </c>
      <c r="N4" s="2" t="inlineStr">
        <is>
          <t>Within 60 days</t>
        </is>
      </c>
      <c r="O4" s="3" t="n">
        <v>2</v>
      </c>
      <c r="P4" s="3" t="n">
        <v>4</v>
      </c>
      <c r="Q4" s="3">
        <f>O4*P4</f>
        <v/>
      </c>
      <c r="R4" s="2">
        <f>IF(Q4&gt;=15,"High",IF(Q4&gt;=8,"Medium","Low"))</f>
        <v/>
      </c>
      <c r="S4" s="2" t="inlineStr">
        <is>
          <t>Proposed</t>
        </is>
      </c>
    </row>
    <row r="5">
      <c r="A5" s="2" t="inlineStr">
        <is>
          <t>R-04</t>
        </is>
      </c>
      <c r="B5" s="2" t="inlineStr">
        <is>
          <t>Security monitoring</t>
        </is>
      </c>
      <c r="C5" s="2" t="inlineStr">
        <is>
          <t>Suspicious sign-ins or endpoint activity are not detected promptly.</t>
        </is>
      </c>
      <c r="D5" s="2" t="inlineStr">
        <is>
          <t>Account compromise / malware</t>
        </is>
      </c>
      <c r="E5" s="2" t="inlineStr">
        <is>
          <t>Scenario assumption: log coverage and alert-review procedures are undocumented.</t>
        </is>
      </c>
      <c r="F5" s="3" t="n">
        <v>3</v>
      </c>
      <c r="G5" s="3" t="n">
        <v>4</v>
      </c>
      <c r="H5" s="3">
        <f>F5*G5</f>
        <v/>
      </c>
      <c r="I5" s="2">
        <f>IF(H5&gt;=15,"High",IF(H5&gt;=8,"Medium","Low"))</f>
        <v/>
      </c>
      <c r="J5" s="2" t="inlineStr">
        <is>
          <t>No real log sources or monitoring evidence reviewed.</t>
        </is>
      </c>
      <c r="K5" s="2" t="inlineStr">
        <is>
          <t>Mitigate</t>
        </is>
      </c>
      <c r="L5" s="2" t="inlineStr">
        <is>
          <t>Define critical log sources; enable relevant alerts; assign alert-review ownership; test escalation.</t>
        </is>
      </c>
      <c r="M5" s="2" t="inlineStr">
        <is>
          <t>Security Lead</t>
        </is>
      </c>
      <c r="N5" s="2" t="inlineStr">
        <is>
          <t>Within 60 days</t>
        </is>
      </c>
      <c r="O5" s="3" t="n">
        <v>2</v>
      </c>
      <c r="P5" s="3" t="n">
        <v>3</v>
      </c>
      <c r="Q5" s="3">
        <f>O5*P5</f>
        <v/>
      </c>
      <c r="R5" s="2">
        <f>IF(Q5&gt;=15,"High",IF(Q5&gt;=8,"Medium","Low"))</f>
        <v/>
      </c>
      <c r="S5" s="2" t="inlineStr">
        <is>
          <t>Proposed</t>
        </is>
      </c>
    </row>
    <row r="6">
      <c r="A6" s="2" t="inlineStr">
        <is>
          <t>R-05</t>
        </is>
      </c>
      <c r="B6" s="2" t="inlineStr">
        <is>
          <t>Incident response</t>
        </is>
      </c>
      <c r="C6" s="2" t="inlineStr">
        <is>
          <t>A security incident is handled inconsistently, delaying containment and recovery.</t>
        </is>
      </c>
      <c r="D6" s="2" t="inlineStr">
        <is>
          <t>Phishing / malware / data exposure</t>
        </is>
      </c>
      <c r="E6" s="2" t="inlineStr">
        <is>
          <t>Scenario assumption: incident response plan and exercise records have not been reviewed.</t>
        </is>
      </c>
      <c r="F6" s="3" t="n">
        <v>3</v>
      </c>
      <c r="G6" s="3" t="n">
        <v>4</v>
      </c>
      <c r="H6" s="3">
        <f>F6*G6</f>
        <v/>
      </c>
      <c r="I6" s="2">
        <f>IF(H6&gt;=15,"High",IF(H6&gt;=8,"Medium","Low"))</f>
        <v/>
      </c>
      <c r="J6" s="2" t="inlineStr">
        <is>
          <t>The scenario does not establish whether a formal plan exists.</t>
        </is>
      </c>
      <c r="K6" s="2" t="inlineStr">
        <is>
          <t>Mitigate</t>
        </is>
      </c>
      <c r="L6" s="2" t="inlineStr">
        <is>
          <t>Document reporting and escalation steps; assign incident roles; conduct a tabletop exercise; record lessons learned.</t>
        </is>
      </c>
      <c r="M6" s="2" t="inlineStr">
        <is>
          <t>IT Manager</t>
        </is>
      </c>
      <c r="N6" s="2" t="inlineStr">
        <is>
          <t>Within 60 days</t>
        </is>
      </c>
      <c r="O6" s="3" t="n">
        <v>2</v>
      </c>
      <c r="P6" s="3" t="n">
        <v>3</v>
      </c>
      <c r="Q6" s="3">
        <f>O6*P6</f>
        <v/>
      </c>
      <c r="R6" s="2">
        <f>IF(Q6&gt;=15,"High",IF(Q6&gt;=8,"Medium","Low"))</f>
        <v/>
      </c>
      <c r="S6" s="2" t="inlineStr">
        <is>
          <t>Proposed</t>
        </is>
      </c>
    </row>
    <row r="7">
      <c r="A7" s="2" t="inlineStr">
        <is>
          <t>R-06</t>
        </is>
      </c>
      <c r="B7" s="2" t="inlineStr">
        <is>
          <t>Employee security awareness</t>
        </is>
      </c>
      <c r="C7" s="2" t="inlineStr">
        <is>
          <t>An employee follows a malicious link and discloses credentials.</t>
        </is>
      </c>
      <c r="D7" s="2" t="inlineStr">
        <is>
          <t>Phishing / social engineering</t>
        </is>
      </c>
      <c r="E7" s="2" t="inlineStr">
        <is>
          <t>Scenario assumption: awareness training completion and effectiveness are unknown.</t>
        </is>
      </c>
      <c r="F7" s="3" t="n">
        <v>4</v>
      </c>
      <c r="G7" s="3" t="n">
        <v>4</v>
      </c>
      <c r="H7" s="3">
        <f>F7*G7</f>
        <v/>
      </c>
      <c r="I7" s="2">
        <f>IF(H7&gt;=15,"High",IF(H7&gt;=8,"Medium","Low"))</f>
        <v/>
      </c>
      <c r="J7" s="2" t="inlineStr">
        <is>
          <t>No real training records or phishing simulation results reviewed.</t>
        </is>
      </c>
      <c r="K7" s="2" t="inlineStr">
        <is>
          <t>Mitigate</t>
        </is>
      </c>
      <c r="L7" s="2" t="inlineStr">
        <is>
          <t>Deliver role-appropriate awareness training; provide a reporting channel; measure completion and follow-up.</t>
        </is>
      </c>
      <c r="M7" s="2" t="inlineStr">
        <is>
          <t>HR + IT</t>
        </is>
      </c>
      <c r="N7" s="2" t="inlineStr">
        <is>
          <t>Within 90 days</t>
        </is>
      </c>
      <c r="O7" s="3" t="n">
        <v>2</v>
      </c>
      <c r="P7" s="3" t="n">
        <v>3</v>
      </c>
      <c r="Q7" s="3">
        <f>O7*P7</f>
        <v/>
      </c>
      <c r="R7" s="2">
        <f>IF(Q7&gt;=15,"High",IF(Q7&gt;=8,"Medium","Low"))</f>
        <v/>
      </c>
      <c r="S7" s="2" t="inlineStr">
        <is>
          <t>Proposed</t>
        </is>
      </c>
    </row>
    <row r="8">
      <c r="A8" s="2" t="inlineStr">
        <is>
          <t>R-07</t>
        </is>
      </c>
      <c r="B8" s="2" t="inlineStr">
        <is>
          <t>Third-party IT services</t>
        </is>
      </c>
      <c r="C8" s="2" t="inlineStr">
        <is>
          <t>A supplier incident affects the confidentiality or availability of company data.</t>
        </is>
      </c>
      <c r="D8" s="2" t="inlineStr">
        <is>
          <t>Supplier compromise / service outage</t>
        </is>
      </c>
      <c r="E8" s="2" t="inlineStr">
        <is>
          <t>Scenario assumption: supplier security reviews and contractual requirements are not confirmed.</t>
        </is>
      </c>
      <c r="F8" s="3" t="n">
        <v>3</v>
      </c>
      <c r="G8" s="3" t="n">
        <v>4</v>
      </c>
      <c r="H8" s="3">
        <f>F8*G8</f>
        <v/>
      </c>
      <c r="I8" s="2">
        <f>IF(H8&gt;=15,"High",IF(H8&gt;=8,"Medium","Low"))</f>
        <v/>
      </c>
      <c r="J8" s="2" t="inlineStr">
        <is>
          <t>No supplier contracts or assurance reports reviewed.</t>
        </is>
      </c>
      <c r="K8" s="2" t="inlineStr">
        <is>
          <t>Mitigate</t>
        </is>
      </c>
      <c r="L8" s="2" t="inlineStr">
        <is>
          <t>Identify critical suppliers; assess security requirements; review assurance evidence; define incident notification obligations.</t>
        </is>
      </c>
      <c r="M8" s="2" t="inlineStr">
        <is>
          <t>Procurement + IT</t>
        </is>
      </c>
      <c r="N8" s="2" t="inlineStr">
        <is>
          <t>Within 90 days</t>
        </is>
      </c>
      <c r="O8" s="3" t="n">
        <v>2</v>
      </c>
      <c r="P8" s="3" t="n">
        <v>3</v>
      </c>
      <c r="Q8" s="3">
        <f>O8*P8</f>
        <v/>
      </c>
      <c r="R8" s="2">
        <f>IF(Q8&gt;=15,"High",IF(Q8&gt;=8,"Medium","Low"))</f>
        <v/>
      </c>
      <c r="S8" s="2" t="inlineStr">
        <is>
          <t>Proposed</t>
        </is>
      </c>
    </row>
  </sheetData>
  <autoFilter ref="A1:S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" t="inlineStr">
        <is>
          <t>Risk Register Scoring Guide</t>
        </is>
      </c>
      <c r="B1" s="4" t="inlineStr">
        <is>
          <t>Definition</t>
        </is>
      </c>
    </row>
    <row r="2">
      <c r="A2" s="2" t="inlineStr">
        <is>
          <t>Likelihood 1</t>
        </is>
      </c>
      <c r="B2" s="2" t="inlineStr">
        <is>
          <t>Rare</t>
        </is>
      </c>
    </row>
    <row r="3">
      <c r="A3" s="2" t="inlineStr">
        <is>
          <t>Likelihood 2</t>
        </is>
      </c>
      <c r="B3" s="2" t="inlineStr">
        <is>
          <t>Unlikely</t>
        </is>
      </c>
    </row>
    <row r="4">
      <c r="A4" s="2" t="inlineStr">
        <is>
          <t>Likelihood 3</t>
        </is>
      </c>
      <c r="B4" s="2" t="inlineStr">
        <is>
          <t>Possible</t>
        </is>
      </c>
    </row>
    <row r="5">
      <c r="A5" s="2" t="inlineStr">
        <is>
          <t>Likelihood 4</t>
        </is>
      </c>
      <c r="B5" s="2" t="inlineStr">
        <is>
          <t>Likely</t>
        </is>
      </c>
    </row>
    <row r="6">
      <c r="A6" s="2" t="inlineStr">
        <is>
          <t>Likelihood 5</t>
        </is>
      </c>
      <c r="B6" s="2" t="inlineStr">
        <is>
          <t>Almost certain</t>
        </is>
      </c>
    </row>
    <row r="7">
      <c r="A7" s="2" t="inlineStr">
        <is>
          <t>Impact 1</t>
        </is>
      </c>
      <c r="B7" s="2" t="inlineStr">
        <is>
          <t>Insignificant</t>
        </is>
      </c>
    </row>
    <row r="8">
      <c r="A8" s="2" t="inlineStr">
        <is>
          <t>Impact 2</t>
        </is>
      </c>
      <c r="B8" s="2" t="inlineStr">
        <is>
          <t>Minor</t>
        </is>
      </c>
    </row>
    <row r="9">
      <c r="A9" s="2" t="inlineStr">
        <is>
          <t>Impact 3</t>
        </is>
      </c>
      <c r="B9" s="2" t="inlineStr">
        <is>
          <t>Moderate</t>
        </is>
      </c>
    </row>
    <row r="10">
      <c r="A10" s="2" t="inlineStr">
        <is>
          <t>Impact 4</t>
        </is>
      </c>
      <c r="B10" s="2" t="inlineStr">
        <is>
          <t>Major</t>
        </is>
      </c>
    </row>
    <row r="11">
      <c r="A11" s="2" t="inlineStr">
        <is>
          <t>Impact 5</t>
        </is>
      </c>
      <c r="B11" s="2" t="inlineStr">
        <is>
          <t>Severe</t>
        </is>
      </c>
    </row>
    <row r="12">
      <c r="A12" s="2" t="inlineStr">
        <is>
          <t>Risk score</t>
        </is>
      </c>
      <c r="B12" s="2" t="inlineStr">
        <is>
          <t>Likelihood × Impact (range 1–25)</t>
        </is>
      </c>
    </row>
    <row r="13">
      <c r="A13" s="2" t="inlineStr">
        <is>
          <t>Low</t>
        </is>
      </c>
      <c r="B13" s="2" t="inlineStr">
        <is>
          <t>1–7</t>
        </is>
      </c>
    </row>
    <row r="14">
      <c r="A14" s="2" t="inlineStr">
        <is>
          <t>Medium</t>
        </is>
      </c>
      <c r="B14" s="2" t="inlineStr">
        <is>
          <t>8–14</t>
        </is>
      </c>
    </row>
    <row r="15">
      <c r="A15" s="2" t="inlineStr">
        <is>
          <t>High</t>
        </is>
      </c>
      <c r="B15" s="2" t="inlineStr">
        <is>
          <t>15–25</t>
        </is>
      </c>
    </row>
    <row r="16">
      <c r="A16" s="2" t="inlineStr">
        <is>
          <t>Important limitation</t>
        </is>
      </c>
      <c r="B16" s="2" t="inlineStr">
        <is>
          <t>These thresholds are illustrative project assumptions, not prescribed ISO 27001 thresholds. Confirm the organisation's risk criteria before real use.</t>
        </is>
      </c>
    </row>
    <row r="17">
      <c r="A17" s="2" t="inlineStr">
        <is>
          <t>Evidence status</t>
        </is>
      </c>
      <c r="B17" s="2" t="inlineStr">
        <is>
          <t>All company conditions are simulated assumptions; no real organisation was audited. Validate evidence before treating a control as implemented or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2026-10-18T12:40:06Z</dcterms:created>
  <dcterms:modified xmlns:dcterms="http://purl.org/dc/terms/" xmlns:xsi="http://www.w3.org/2001/XMLSchema-instance" xsi:type="dcterms:W3CDTF">2026-10-18T12:40:06Z</dcterms:modified>
</cp:coreProperties>
</file>